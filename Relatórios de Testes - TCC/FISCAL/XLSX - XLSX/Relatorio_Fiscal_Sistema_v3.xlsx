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060a766fbb99135b/Desktop/Relatórios de Testes - TCC/FISCAL/XLSX - XLSX/"/>
    </mc:Choice>
  </mc:AlternateContent>
  <xr:revisionPtr revIDLastSave="2" documentId="11_5C2DB04CDA4FDEDE6F50DC545F5DCE3AB7418F34" xr6:coauthVersionLast="47" xr6:coauthVersionMax="47" xr10:uidLastSave="{760CF6AE-89B6-40E7-A271-9304A833266A}"/>
  <bookViews>
    <workbookView xWindow="-96" yWindow="0" windowWidth="11712" windowHeight="13776" xr2:uid="{00000000-000D-0000-FFFF-FFFF00000000}"/>
  </bookViews>
  <sheets>
    <sheet name="Notas_Sistema" sheetId="1" r:id="rId1"/>
  </sheets>
  <definedNames>
    <definedName name="_xlnm._FilterDatabase" localSheetId="0" hidden="1">Notas_Sistema!$A$3:$T$48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8" i="1" l="1"/>
  <c r="J48" i="1"/>
  <c r="I48" i="1"/>
  <c r="H48" i="1"/>
  <c r="G48" i="1"/>
  <c r="F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S33" i="1"/>
  <c r="R33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48" i="1" s="1"/>
  <c r="R47" i="1" l="1"/>
  <c r="S47" i="1"/>
  <c r="P47" i="1"/>
  <c r="N47" i="1"/>
  <c r="T47" i="1" s="1"/>
  <c r="N46" i="1"/>
  <c r="R46" i="1"/>
  <c r="S46" i="1"/>
  <c r="P46" i="1"/>
  <c r="R45" i="1"/>
  <c r="P45" i="1"/>
  <c r="S45" i="1"/>
  <c r="N45" i="1"/>
  <c r="T45" i="1" s="1"/>
  <c r="P44" i="1"/>
  <c r="S44" i="1"/>
  <c r="R44" i="1"/>
  <c r="N44" i="1"/>
  <c r="T44" i="1" s="1"/>
  <c r="R43" i="1"/>
  <c r="P43" i="1"/>
  <c r="N43" i="1"/>
  <c r="T43" i="1" s="1"/>
  <c r="S43" i="1"/>
  <c r="R42" i="1"/>
  <c r="N42" i="1"/>
  <c r="S42" i="1"/>
  <c r="P42" i="1"/>
  <c r="N41" i="1"/>
  <c r="R41" i="1"/>
  <c r="P41" i="1"/>
  <c r="S41" i="1"/>
  <c r="R40" i="1"/>
  <c r="S40" i="1"/>
  <c r="N40" i="1"/>
  <c r="P40" i="1"/>
  <c r="P39" i="1"/>
  <c r="R39" i="1"/>
  <c r="N39" i="1"/>
  <c r="T39" i="1" s="1"/>
  <c r="S39" i="1"/>
  <c r="S38" i="1"/>
  <c r="P38" i="1"/>
  <c r="N38" i="1"/>
  <c r="R38" i="1"/>
  <c r="P37" i="1"/>
  <c r="S37" i="1"/>
  <c r="N37" i="1"/>
  <c r="R37" i="1"/>
  <c r="P36" i="1"/>
  <c r="S36" i="1"/>
  <c r="N36" i="1"/>
  <c r="R36" i="1"/>
  <c r="P35" i="1"/>
  <c r="N35" i="1"/>
  <c r="S35" i="1"/>
  <c r="R35" i="1"/>
  <c r="N34" i="1"/>
  <c r="R34" i="1"/>
  <c r="P34" i="1"/>
  <c r="S34" i="1"/>
  <c r="N33" i="1"/>
  <c r="P33" i="1"/>
  <c r="N32" i="1"/>
  <c r="P32" i="1"/>
  <c r="R32" i="1"/>
  <c r="S32" i="1"/>
  <c r="P31" i="1"/>
  <c r="R31" i="1"/>
  <c r="S31" i="1"/>
  <c r="N31" i="1"/>
  <c r="T31" i="1" s="1"/>
  <c r="N30" i="1"/>
  <c r="P30" i="1"/>
  <c r="R30" i="1"/>
  <c r="S30" i="1"/>
  <c r="N29" i="1"/>
  <c r="P29" i="1"/>
  <c r="R29" i="1"/>
  <c r="S29" i="1"/>
  <c r="S28" i="1"/>
  <c r="R28" i="1"/>
  <c r="P28" i="1"/>
  <c r="N28" i="1"/>
  <c r="T28" i="1" s="1"/>
  <c r="S27" i="1"/>
  <c r="R27" i="1"/>
  <c r="P27" i="1"/>
  <c r="N27" i="1"/>
  <c r="T27" i="1" s="1"/>
  <c r="S26" i="1"/>
  <c r="R26" i="1"/>
  <c r="P26" i="1"/>
  <c r="N26" i="1"/>
  <c r="T26" i="1" s="1"/>
  <c r="S25" i="1"/>
  <c r="R25" i="1"/>
  <c r="P25" i="1"/>
  <c r="N25" i="1"/>
  <c r="T25" i="1" s="1"/>
  <c r="N24" i="1"/>
  <c r="P24" i="1"/>
  <c r="R24" i="1"/>
  <c r="S24" i="1"/>
  <c r="N23" i="1"/>
  <c r="R23" i="1"/>
  <c r="P23" i="1"/>
  <c r="S23" i="1"/>
  <c r="R22" i="1"/>
  <c r="N22" i="1"/>
  <c r="P22" i="1"/>
  <c r="S22" i="1"/>
  <c r="S21" i="1"/>
  <c r="R21" i="1"/>
  <c r="P21" i="1"/>
  <c r="N21" i="1"/>
  <c r="T21" i="1" s="1"/>
  <c r="S20" i="1"/>
  <c r="R20" i="1"/>
  <c r="P20" i="1"/>
  <c r="N20" i="1"/>
  <c r="R19" i="1"/>
  <c r="S19" i="1"/>
  <c r="P19" i="1"/>
  <c r="N19" i="1"/>
  <c r="T19" i="1" s="1"/>
  <c r="P18" i="1"/>
  <c r="R18" i="1"/>
  <c r="S18" i="1"/>
  <c r="N18" i="1"/>
  <c r="T18" i="1" s="1"/>
  <c r="S17" i="1"/>
  <c r="R17" i="1"/>
  <c r="P17" i="1"/>
  <c r="N17" i="1"/>
  <c r="T17" i="1" s="1"/>
  <c r="S16" i="1"/>
  <c r="R16" i="1"/>
  <c r="P16" i="1"/>
  <c r="N16" i="1"/>
  <c r="S15" i="1"/>
  <c r="R15" i="1"/>
  <c r="P15" i="1"/>
  <c r="N15" i="1"/>
  <c r="R14" i="1"/>
  <c r="P14" i="1"/>
  <c r="N14" i="1"/>
  <c r="T14" i="1" s="1"/>
  <c r="S14" i="1"/>
  <c r="S13" i="1"/>
  <c r="N13" i="1"/>
  <c r="P13" i="1"/>
  <c r="R13" i="1"/>
  <c r="S12" i="1"/>
  <c r="R12" i="1"/>
  <c r="P12" i="1"/>
  <c r="N12" i="1"/>
  <c r="T12" i="1" s="1"/>
  <c r="R11" i="1"/>
  <c r="N11" i="1"/>
  <c r="P11" i="1"/>
  <c r="S11" i="1"/>
  <c r="N10" i="1"/>
  <c r="P10" i="1"/>
  <c r="R10" i="1"/>
  <c r="S10" i="1"/>
  <c r="S9" i="1"/>
  <c r="R9" i="1"/>
  <c r="N9" i="1"/>
  <c r="P9" i="1"/>
  <c r="N8" i="1"/>
  <c r="P8" i="1"/>
  <c r="R8" i="1"/>
  <c r="S8" i="1"/>
  <c r="N7" i="1"/>
  <c r="P7" i="1"/>
  <c r="R7" i="1"/>
  <c r="S7" i="1"/>
  <c r="N6" i="1"/>
  <c r="P6" i="1"/>
  <c r="R6" i="1"/>
  <c r="S6" i="1"/>
  <c r="R5" i="1"/>
  <c r="S5" i="1"/>
  <c r="N5" i="1"/>
  <c r="P5" i="1"/>
  <c r="R4" i="1"/>
  <c r="N4" i="1"/>
  <c r="P4" i="1"/>
  <c r="S4" i="1"/>
  <c r="T40" i="1" l="1"/>
  <c r="T15" i="1"/>
  <c r="T34" i="1"/>
  <c r="T16" i="1"/>
  <c r="T4" i="1"/>
  <c r="N48" i="1"/>
  <c r="T46" i="1"/>
  <c r="T42" i="1"/>
  <c r="T41" i="1"/>
  <c r="T33" i="1"/>
  <c r="T32" i="1"/>
  <c r="T29" i="1"/>
  <c r="T24" i="1"/>
  <c r="T13" i="1"/>
  <c r="T11" i="1"/>
  <c r="T10" i="1"/>
  <c r="T9" i="1"/>
  <c r="T8" i="1"/>
  <c r="T7" i="1"/>
  <c r="T6" i="1"/>
  <c r="T5" i="1"/>
  <c r="R48" i="1"/>
  <c r="P48" i="1"/>
  <c r="S48" i="1"/>
  <c r="T38" i="1"/>
  <c r="T37" i="1"/>
  <c r="T36" i="1"/>
  <c r="T35" i="1"/>
  <c r="T30" i="1"/>
  <c r="T23" i="1"/>
  <c r="T22" i="1"/>
  <c r="T20" i="1"/>
  <c r="T48" i="1" l="1"/>
</calcChain>
</file>

<file path=xl/sharedStrings.xml><?xml version="1.0" encoding="utf-8"?>
<sst xmlns="http://schemas.openxmlformats.org/spreadsheetml/2006/main" count="201" uniqueCount="65">
  <si>
    <t>RELATÓRIO FISCAL DETALHADO - SISTEMA ERP INTERNO (45 NOTAS)</t>
  </si>
  <si>
    <t>Número NF</t>
  </si>
  <si>
    <t>Série</t>
  </si>
  <si>
    <t>Data Emissão</t>
  </si>
  <si>
    <t>CNPJ Emitente</t>
  </si>
  <si>
    <t>Razão Social Emitente</t>
  </si>
  <si>
    <t>Valor Operação (R$)</t>
  </si>
  <si>
    <t>Desconto (R$)</t>
  </si>
  <si>
    <t>Frete (R$)</t>
  </si>
  <si>
    <t>Seguro (R$)</t>
  </si>
  <si>
    <t>Desp. Acessórias (R$)</t>
  </si>
  <si>
    <t>Acréscimo (R$)</t>
  </si>
  <si>
    <t>Base Cálc. ICMS (R$)</t>
  </si>
  <si>
    <t>Alíq. ICMS</t>
  </si>
  <si>
    <t>Valor ICMS (R$)</t>
  </si>
  <si>
    <t>Alíq. PIS</t>
  </si>
  <si>
    <t>Valor PIS (R$)</t>
  </si>
  <si>
    <t>Alíq. COFINS</t>
  </si>
  <si>
    <t>Valor COFINS (R$)</t>
  </si>
  <si>
    <t>Valor Total Nota (R$)</t>
  </si>
  <si>
    <t>Valor Impostos a Recolher (R$)</t>
  </si>
  <si>
    <t>1</t>
  </si>
  <si>
    <t>20/09/2026</t>
  </si>
  <si>
    <t>16.716.358/0001-30</t>
  </si>
  <si>
    <t>Horizonte Comércio de Componentes Ltda</t>
  </si>
  <si>
    <t>08/09/2026</t>
  </si>
  <si>
    <t>14.383.332/0001-01</t>
  </si>
  <si>
    <t>Tech Solutions Comércio Ltda</t>
  </si>
  <si>
    <t>27/09/2026</t>
  </si>
  <si>
    <t>52.825.922/0001-20</t>
  </si>
  <si>
    <t>Vortex Suprimentos e Tecnologia Ltda</t>
  </si>
  <si>
    <t>26/09/2026</t>
  </si>
  <si>
    <t>11.222.333/0001-44</t>
  </si>
  <si>
    <t>Inovação Materiais de Escritório Ltda</t>
  </si>
  <si>
    <t>18/09/2026</t>
  </si>
  <si>
    <t>28/09/2026</t>
  </si>
  <si>
    <t>46.374.501/0001-58</t>
  </si>
  <si>
    <t>Omega Equipamentos Industriais S.A.</t>
  </si>
  <si>
    <t>16/09/2026</t>
  </si>
  <si>
    <t>07.526.557/0001-00</t>
  </si>
  <si>
    <t>Alpha Distribuidora de Eletrônicos S.A.</t>
  </si>
  <si>
    <t>09/09/2026</t>
  </si>
  <si>
    <t>33.000.167/0001-01</t>
  </si>
  <si>
    <t>Beta Indústria e Comércio de Papelaria</t>
  </si>
  <si>
    <t>14/09/2026</t>
  </si>
  <si>
    <t>60.746.948/0001-12</t>
  </si>
  <si>
    <t>Gamma Logística e Transportes Ltda</t>
  </si>
  <si>
    <t>15/09/2026</t>
  </si>
  <si>
    <t>17/09/2026</t>
  </si>
  <si>
    <t>07/09/2026</t>
  </si>
  <si>
    <t>25/09/2026</t>
  </si>
  <si>
    <t>11/09/2026</t>
  </si>
  <si>
    <t>28.491.564/0001-89</t>
  </si>
  <si>
    <t>NEXUS Soluções em Automação S.A.</t>
  </si>
  <si>
    <t>13/09/2026</t>
  </si>
  <si>
    <t>29/09/2026</t>
  </si>
  <si>
    <t>02/09/2026</t>
  </si>
  <si>
    <t>06/09/2026</t>
  </si>
  <si>
    <t>03.007.331/0001-41</t>
  </si>
  <si>
    <t>Delta Softwares e Consultoria de TI</t>
  </si>
  <si>
    <t>24/09/2026</t>
  </si>
  <si>
    <t>01/09/2026</t>
  </si>
  <si>
    <t>04/09/2026</t>
  </si>
  <si>
    <t>TOTAIS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</si>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</sst>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8"/>
  <sheetViews>
    <sheetView tabSelected="1" topLeftCell="N1" zoomScale="85" zoomScaleNormal="85" workbookViewId="0">
      <selection activeCell="J54" sqref="J54"/>
    </sheetView>
  </sheetViews>
  <sheetFormatPr defaultRowHeight="14.4" x14ac:dyDescent="0.3"/>
  <cols>
    <col min="1" max="1" width="62" customWidth="1"/>
    <col min="2" max="2" width="13" customWidth="1"/>
    <col min="3" max="3" width="15" customWidth="1"/>
    <col min="4" max="4" width="21" customWidth="1"/>
    <col min="5" max="5" width="38" customWidth="1"/>
    <col min="6" max="6" width="22" customWidth="1"/>
    <col min="7" max="7" width="16" customWidth="1"/>
    <col min="8" max="9" width="15" customWidth="1"/>
    <col min="10" max="10" width="24" customWidth="1"/>
    <col min="11" max="11" width="17" customWidth="1"/>
    <col min="12" max="12" width="27" customWidth="1"/>
    <col min="13" max="13" width="13" customWidth="1"/>
    <col min="14" max="14" width="18" customWidth="1"/>
    <col min="15" max="15" width="13" customWidth="1"/>
    <col min="16" max="16" width="17" customWidth="1"/>
    <col min="17" max="17" width="15" customWidth="1"/>
    <col min="18" max="18" width="20" customWidth="1"/>
    <col min="19" max="19" width="18" customWidth="1"/>
    <col min="20" max="20" width="22" customWidth="1"/>
  </cols>
  <sheetData>
    <row r="1" spans="1:20" ht="18" x14ac:dyDescent="0.35">
      <c r="A1" s="1" t="s">
        <v>0</v>
      </c>
    </row>
    <row r="3" spans="1:20" ht="34.950000000000003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3" t="s">
        <v>19</v>
      </c>
      <c r="T3" s="3" t="s">
        <v>20</v>
      </c>
    </row>
    <row r="4" spans="1:20" ht="19.95" hidden="1" customHeight="1" x14ac:dyDescent="0.3">
      <c r="A4" s="4">
        <v>3002</v>
      </c>
      <c r="B4" s="4" t="s">
        <v>21</v>
      </c>
      <c r="C4" s="4" t="s">
        <v>22</v>
      </c>
      <c r="D4" s="4" t="s">
        <v>23</v>
      </c>
      <c r="E4" s="5" t="s">
        <v>24</v>
      </c>
      <c r="F4" s="6">
        <v>13487.53</v>
      </c>
      <c r="G4" s="6">
        <v>100</v>
      </c>
      <c r="H4" s="6">
        <v>250</v>
      </c>
      <c r="I4" s="6">
        <v>30</v>
      </c>
      <c r="J4" s="6">
        <v>60</v>
      </c>
      <c r="K4" s="6">
        <v>40</v>
      </c>
      <c r="L4" s="6">
        <f t="shared" ref="L4:L47" si="0">F4-G4+H4+I4+J4+K4</f>
        <v>13767.53</v>
      </c>
      <c r="M4" s="7">
        <v>0.18</v>
      </c>
      <c r="N4" s="6">
        <f t="shared" ref="N4:N47" si="1">L4*M4</f>
        <v>2478.1554000000001</v>
      </c>
      <c r="O4" s="7">
        <v>1.6500000000000001E-2</v>
      </c>
      <c r="P4" s="6">
        <f t="shared" ref="P4:P47" si="2">L4*O4</f>
        <v>227.16424500000002</v>
      </c>
      <c r="Q4" s="7">
        <v>7.5999999999999998E-2</v>
      </c>
      <c r="R4" s="6">
        <f t="shared" ref="R4:R47" si="3">L4*Q4</f>
        <v>1046.3322800000001</v>
      </c>
      <c r="S4" s="6">
        <f t="shared" ref="S4:S47" si="4">L4</f>
        <v>13767.53</v>
      </c>
      <c r="T4" s="6">
        <f t="shared" ref="T4:T47" si="5">N4+P4+R4</f>
        <v>3751.6519250000001</v>
      </c>
    </row>
    <row r="5" spans="1:20" ht="19.95" customHeight="1" x14ac:dyDescent="0.3">
      <c r="A5" s="4">
        <v>3003</v>
      </c>
      <c r="B5" s="4" t="s">
        <v>21</v>
      </c>
      <c r="C5" s="4" t="s">
        <v>25</v>
      </c>
      <c r="D5" s="4" t="s">
        <v>26</v>
      </c>
      <c r="E5" s="5" t="s">
        <v>27</v>
      </c>
      <c r="F5" s="6">
        <v>19004.82</v>
      </c>
      <c r="G5" s="6">
        <v>0</v>
      </c>
      <c r="H5" s="6">
        <v>80</v>
      </c>
      <c r="I5" s="6">
        <v>0</v>
      </c>
      <c r="J5" s="6">
        <v>25</v>
      </c>
      <c r="K5" s="6">
        <v>0</v>
      </c>
      <c r="L5" s="6">
        <f t="shared" si="0"/>
        <v>19109.82</v>
      </c>
      <c r="M5" s="7">
        <v>0.18</v>
      </c>
      <c r="N5" s="6">
        <f t="shared" si="1"/>
        <v>3439.7675999999997</v>
      </c>
      <c r="O5" s="7">
        <v>1.6500000000000001E-2</v>
      </c>
      <c r="P5" s="6">
        <f t="shared" si="2"/>
        <v>315.31202999999999</v>
      </c>
      <c r="Q5" s="7">
        <v>7.5999999999999998E-2</v>
      </c>
      <c r="R5" s="6">
        <f t="shared" si="3"/>
        <v>1452.3463199999999</v>
      </c>
      <c r="S5" s="6">
        <f t="shared" si="4"/>
        <v>19109.82</v>
      </c>
      <c r="T5" s="6">
        <f t="shared" si="5"/>
        <v>5207.4259499999998</v>
      </c>
    </row>
    <row r="6" spans="1:20" ht="19.95" hidden="1" customHeight="1" x14ac:dyDescent="0.3">
      <c r="A6" s="4">
        <v>3004</v>
      </c>
      <c r="B6" s="4" t="s">
        <v>21</v>
      </c>
      <c r="C6" s="4" t="s">
        <v>28</v>
      </c>
      <c r="D6" s="4" t="s">
        <v>29</v>
      </c>
      <c r="E6" s="5" t="s">
        <v>30</v>
      </c>
      <c r="F6" s="6">
        <v>20862.580000000002</v>
      </c>
      <c r="G6" s="6">
        <v>0</v>
      </c>
      <c r="H6" s="6">
        <v>120</v>
      </c>
      <c r="I6" s="6">
        <v>0</v>
      </c>
      <c r="J6" s="6">
        <v>0</v>
      </c>
      <c r="K6" s="6">
        <v>0</v>
      </c>
      <c r="L6" s="6">
        <f t="shared" si="0"/>
        <v>20982.58</v>
      </c>
      <c r="M6" s="7">
        <v>0.18</v>
      </c>
      <c r="N6" s="6">
        <f t="shared" si="1"/>
        <v>3776.8644000000004</v>
      </c>
      <c r="O6" s="7">
        <v>1.6500000000000001E-2</v>
      </c>
      <c r="P6" s="6">
        <f t="shared" si="2"/>
        <v>346.21257000000003</v>
      </c>
      <c r="Q6" s="7">
        <v>7.5999999999999998E-2</v>
      </c>
      <c r="R6" s="6">
        <f t="shared" si="3"/>
        <v>1594.6760800000002</v>
      </c>
      <c r="S6" s="6">
        <f t="shared" si="4"/>
        <v>20982.58</v>
      </c>
      <c r="T6" s="6">
        <f t="shared" si="5"/>
        <v>5717.7530500000003</v>
      </c>
    </row>
    <row r="7" spans="1:20" ht="19.95" hidden="1" customHeight="1" x14ac:dyDescent="0.3">
      <c r="A7" s="4">
        <v>3005</v>
      </c>
      <c r="B7" s="4" t="s">
        <v>21</v>
      </c>
      <c r="C7" s="4" t="s">
        <v>31</v>
      </c>
      <c r="D7" s="4" t="s">
        <v>32</v>
      </c>
      <c r="E7" s="5" t="s">
        <v>33</v>
      </c>
      <c r="F7" s="6">
        <v>29990.2</v>
      </c>
      <c r="G7" s="6">
        <v>100</v>
      </c>
      <c r="H7" s="6">
        <v>400</v>
      </c>
      <c r="I7" s="6">
        <v>0</v>
      </c>
      <c r="J7" s="6">
        <v>0</v>
      </c>
      <c r="K7" s="6">
        <v>0</v>
      </c>
      <c r="L7" s="6">
        <f t="shared" si="0"/>
        <v>30290.2</v>
      </c>
      <c r="M7" s="7">
        <v>0.18</v>
      </c>
      <c r="N7" s="6">
        <f t="shared" si="1"/>
        <v>5452.2359999999999</v>
      </c>
      <c r="O7" s="7">
        <v>1.6500000000000001E-2</v>
      </c>
      <c r="P7" s="6">
        <f t="shared" si="2"/>
        <v>499.78830000000005</v>
      </c>
      <c r="Q7" s="7">
        <v>7.5999999999999998E-2</v>
      </c>
      <c r="R7" s="6">
        <f t="shared" si="3"/>
        <v>2302.0551999999998</v>
      </c>
      <c r="S7" s="6">
        <f t="shared" si="4"/>
        <v>30290.2</v>
      </c>
      <c r="T7" s="6">
        <f t="shared" si="5"/>
        <v>8254.0794999999998</v>
      </c>
    </row>
    <row r="8" spans="1:20" ht="19.95" hidden="1" customHeight="1" x14ac:dyDescent="0.3">
      <c r="A8" s="4">
        <v>3006</v>
      </c>
      <c r="B8" s="4" t="s">
        <v>21</v>
      </c>
      <c r="C8" s="4" t="s">
        <v>34</v>
      </c>
      <c r="D8" s="4" t="s">
        <v>23</v>
      </c>
      <c r="E8" s="5" t="s">
        <v>24</v>
      </c>
      <c r="F8" s="6">
        <v>9825.4699999999993</v>
      </c>
      <c r="G8" s="6">
        <v>50</v>
      </c>
      <c r="H8" s="6">
        <v>0</v>
      </c>
      <c r="I8" s="6">
        <v>50</v>
      </c>
      <c r="J8" s="6">
        <v>0</v>
      </c>
      <c r="K8" s="6">
        <v>0</v>
      </c>
      <c r="L8" s="6">
        <f t="shared" si="0"/>
        <v>9825.4699999999993</v>
      </c>
      <c r="M8" s="7">
        <v>0.18</v>
      </c>
      <c r="N8" s="6">
        <f t="shared" si="1"/>
        <v>1768.5845999999999</v>
      </c>
      <c r="O8" s="7">
        <v>1.6500000000000001E-2</v>
      </c>
      <c r="P8" s="6">
        <f t="shared" si="2"/>
        <v>162.12025499999999</v>
      </c>
      <c r="Q8" s="7">
        <v>7.5999999999999998E-2</v>
      </c>
      <c r="R8" s="6">
        <f t="shared" si="3"/>
        <v>746.7357199999999</v>
      </c>
      <c r="S8" s="6">
        <f t="shared" si="4"/>
        <v>9825.4699999999993</v>
      </c>
      <c r="T8" s="6">
        <f t="shared" si="5"/>
        <v>2677.4405749999996</v>
      </c>
    </row>
    <row r="9" spans="1:20" ht="19.95" hidden="1" customHeight="1" x14ac:dyDescent="0.3">
      <c r="A9" s="4">
        <v>3007</v>
      </c>
      <c r="B9" s="4" t="s">
        <v>21</v>
      </c>
      <c r="C9" s="4" t="s">
        <v>35</v>
      </c>
      <c r="D9" s="4" t="s">
        <v>36</v>
      </c>
      <c r="E9" s="5" t="s">
        <v>37</v>
      </c>
      <c r="F9" s="6">
        <v>11860.95</v>
      </c>
      <c r="G9" s="6">
        <v>50</v>
      </c>
      <c r="H9" s="6">
        <v>0</v>
      </c>
      <c r="I9" s="6">
        <v>30</v>
      </c>
      <c r="J9" s="6">
        <v>60</v>
      </c>
      <c r="K9" s="6">
        <v>90</v>
      </c>
      <c r="L9" s="6">
        <f t="shared" si="0"/>
        <v>11990.95</v>
      </c>
      <c r="M9" s="7">
        <v>0.18</v>
      </c>
      <c r="N9" s="6">
        <f t="shared" si="1"/>
        <v>2158.3710000000001</v>
      </c>
      <c r="O9" s="7">
        <v>1.6500000000000001E-2</v>
      </c>
      <c r="P9" s="6">
        <f t="shared" si="2"/>
        <v>197.85067500000002</v>
      </c>
      <c r="Q9" s="7">
        <v>7.5999999999999998E-2</v>
      </c>
      <c r="R9" s="6">
        <f t="shared" si="3"/>
        <v>911.31220000000008</v>
      </c>
      <c r="S9" s="6">
        <f t="shared" si="4"/>
        <v>11990.95</v>
      </c>
      <c r="T9" s="6">
        <f t="shared" si="5"/>
        <v>3267.5338750000001</v>
      </c>
    </row>
    <row r="10" spans="1:20" ht="19.95" hidden="1" customHeight="1" x14ac:dyDescent="0.3">
      <c r="A10" s="4">
        <v>3008</v>
      </c>
      <c r="B10" s="4" t="s">
        <v>21</v>
      </c>
      <c r="C10" s="4" t="s">
        <v>38</v>
      </c>
      <c r="D10" s="4" t="s">
        <v>39</v>
      </c>
      <c r="E10" s="5" t="s">
        <v>40</v>
      </c>
      <c r="F10" s="6">
        <v>13625.13</v>
      </c>
      <c r="G10" s="6">
        <v>200</v>
      </c>
      <c r="H10" s="6">
        <v>250</v>
      </c>
      <c r="I10" s="6">
        <v>30</v>
      </c>
      <c r="J10" s="6">
        <v>25</v>
      </c>
      <c r="K10" s="6">
        <v>90</v>
      </c>
      <c r="L10" s="6">
        <f t="shared" si="0"/>
        <v>13820.13</v>
      </c>
      <c r="M10" s="7">
        <v>0.18</v>
      </c>
      <c r="N10" s="6">
        <f t="shared" si="1"/>
        <v>2487.6233999999999</v>
      </c>
      <c r="O10" s="7">
        <v>1.6500000000000001E-2</v>
      </c>
      <c r="P10" s="6">
        <f t="shared" si="2"/>
        <v>228.03214499999999</v>
      </c>
      <c r="Q10" s="7">
        <v>7.5999999999999998E-2</v>
      </c>
      <c r="R10" s="6">
        <f t="shared" si="3"/>
        <v>1050.32988</v>
      </c>
      <c r="S10" s="6">
        <f t="shared" si="4"/>
        <v>13820.13</v>
      </c>
      <c r="T10" s="6">
        <f t="shared" si="5"/>
        <v>3765.9854249999999</v>
      </c>
    </row>
    <row r="11" spans="1:20" ht="19.95" hidden="1" customHeight="1" x14ac:dyDescent="0.3">
      <c r="A11" s="4">
        <v>3009</v>
      </c>
      <c r="B11" s="4" t="s">
        <v>21</v>
      </c>
      <c r="C11" s="4" t="s">
        <v>41</v>
      </c>
      <c r="D11" s="4" t="s">
        <v>32</v>
      </c>
      <c r="E11" s="5" t="s">
        <v>33</v>
      </c>
      <c r="F11" s="6">
        <v>17574</v>
      </c>
      <c r="G11" s="6">
        <v>50</v>
      </c>
      <c r="H11" s="6">
        <v>250</v>
      </c>
      <c r="I11" s="6">
        <v>50</v>
      </c>
      <c r="J11" s="6">
        <v>0</v>
      </c>
      <c r="K11" s="6">
        <v>90</v>
      </c>
      <c r="L11" s="6">
        <f t="shared" si="0"/>
        <v>17914</v>
      </c>
      <c r="M11" s="7">
        <v>0.18</v>
      </c>
      <c r="N11" s="6">
        <f t="shared" si="1"/>
        <v>3224.52</v>
      </c>
      <c r="O11" s="7">
        <v>1.6500000000000001E-2</v>
      </c>
      <c r="P11" s="6">
        <f t="shared" si="2"/>
        <v>295.58100000000002</v>
      </c>
      <c r="Q11" s="7">
        <v>7.5999999999999998E-2</v>
      </c>
      <c r="R11" s="6">
        <f t="shared" si="3"/>
        <v>1361.4639999999999</v>
      </c>
      <c r="S11" s="6">
        <f t="shared" si="4"/>
        <v>17914</v>
      </c>
      <c r="T11" s="6">
        <f t="shared" si="5"/>
        <v>4881.5650000000005</v>
      </c>
    </row>
    <row r="12" spans="1:20" ht="19.95" hidden="1" customHeight="1" x14ac:dyDescent="0.3">
      <c r="A12" s="4">
        <v>3010</v>
      </c>
      <c r="B12" s="4" t="s">
        <v>21</v>
      </c>
      <c r="C12" s="4" t="s">
        <v>25</v>
      </c>
      <c r="D12" s="4" t="s">
        <v>42</v>
      </c>
      <c r="E12" s="5" t="s">
        <v>43</v>
      </c>
      <c r="F12" s="6">
        <v>24816.77</v>
      </c>
      <c r="G12" s="6">
        <v>150</v>
      </c>
      <c r="H12" s="6">
        <v>250</v>
      </c>
      <c r="I12" s="6">
        <v>0</v>
      </c>
      <c r="J12" s="6">
        <v>60</v>
      </c>
      <c r="K12" s="6">
        <v>40</v>
      </c>
      <c r="L12" s="6">
        <f t="shared" si="0"/>
        <v>25016.77</v>
      </c>
      <c r="M12" s="7">
        <v>0.18</v>
      </c>
      <c r="N12" s="6">
        <f t="shared" si="1"/>
        <v>4503.0186000000003</v>
      </c>
      <c r="O12" s="7">
        <v>1.6500000000000001E-2</v>
      </c>
      <c r="P12" s="6">
        <f t="shared" si="2"/>
        <v>412.77670500000005</v>
      </c>
      <c r="Q12" s="7">
        <v>7.5999999999999998E-2</v>
      </c>
      <c r="R12" s="6">
        <f t="shared" si="3"/>
        <v>1901.2745199999999</v>
      </c>
      <c r="S12" s="6">
        <f t="shared" si="4"/>
        <v>25016.77</v>
      </c>
      <c r="T12" s="6">
        <f t="shared" si="5"/>
        <v>6817.0698250000005</v>
      </c>
    </row>
    <row r="13" spans="1:20" ht="19.95" hidden="1" customHeight="1" x14ac:dyDescent="0.3">
      <c r="A13" s="4">
        <v>3011</v>
      </c>
      <c r="B13" s="4" t="s">
        <v>21</v>
      </c>
      <c r="C13" s="4" t="s">
        <v>38</v>
      </c>
      <c r="D13" s="4" t="s">
        <v>42</v>
      </c>
      <c r="E13" s="5" t="s">
        <v>43</v>
      </c>
      <c r="F13" s="6">
        <v>15240.22</v>
      </c>
      <c r="G13" s="6">
        <v>0</v>
      </c>
      <c r="H13" s="6">
        <v>0</v>
      </c>
      <c r="I13" s="6">
        <v>30</v>
      </c>
      <c r="J13" s="6">
        <v>25</v>
      </c>
      <c r="K13" s="6">
        <v>90</v>
      </c>
      <c r="L13" s="6">
        <f t="shared" si="0"/>
        <v>15385.22</v>
      </c>
      <c r="M13" s="7">
        <v>0.18</v>
      </c>
      <c r="N13" s="6">
        <f t="shared" si="1"/>
        <v>2769.3395999999998</v>
      </c>
      <c r="O13" s="7">
        <v>1.6500000000000001E-2</v>
      </c>
      <c r="P13" s="6">
        <f t="shared" si="2"/>
        <v>253.85613000000001</v>
      </c>
      <c r="Q13" s="7">
        <v>7.5999999999999998E-2</v>
      </c>
      <c r="R13" s="6">
        <f t="shared" si="3"/>
        <v>1169.2767199999998</v>
      </c>
      <c r="S13" s="6">
        <f t="shared" si="4"/>
        <v>15385.22</v>
      </c>
      <c r="T13" s="6">
        <f t="shared" si="5"/>
        <v>4192.4724499999993</v>
      </c>
    </row>
    <row r="14" spans="1:20" ht="19.95" customHeight="1" x14ac:dyDescent="0.3">
      <c r="A14" s="4">
        <v>3012</v>
      </c>
      <c r="B14" s="4" t="s">
        <v>21</v>
      </c>
      <c r="C14" s="4" t="s">
        <v>41</v>
      </c>
      <c r="D14" s="4" t="s">
        <v>23</v>
      </c>
      <c r="E14" s="5" t="s">
        <v>24</v>
      </c>
      <c r="F14" s="6">
        <v>12959.29</v>
      </c>
      <c r="G14" s="6">
        <v>0</v>
      </c>
      <c r="H14" s="6">
        <v>250</v>
      </c>
      <c r="I14" s="6">
        <v>50</v>
      </c>
      <c r="J14" s="6">
        <v>25</v>
      </c>
      <c r="K14" s="6">
        <v>40</v>
      </c>
      <c r="L14" s="6">
        <f t="shared" si="0"/>
        <v>13324.29</v>
      </c>
      <c r="M14" s="7">
        <v>0.18</v>
      </c>
      <c r="N14" s="6">
        <f t="shared" si="1"/>
        <v>2398.3722000000002</v>
      </c>
      <c r="O14" s="7">
        <v>1.6500000000000001E-2</v>
      </c>
      <c r="P14" s="6">
        <f t="shared" si="2"/>
        <v>219.85078500000003</v>
      </c>
      <c r="Q14" s="7">
        <v>7.5999999999999998E-2</v>
      </c>
      <c r="R14" s="6">
        <f t="shared" si="3"/>
        <v>1012.6460400000001</v>
      </c>
      <c r="S14" s="6">
        <f t="shared" si="4"/>
        <v>13324.29</v>
      </c>
      <c r="T14" s="6">
        <f t="shared" si="5"/>
        <v>3630.8690250000004</v>
      </c>
    </row>
    <row r="15" spans="1:20" ht="19.95" hidden="1" customHeight="1" x14ac:dyDescent="0.3">
      <c r="A15" s="4">
        <v>3013</v>
      </c>
      <c r="B15" s="4" t="s">
        <v>21</v>
      </c>
      <c r="C15" s="4" t="s">
        <v>44</v>
      </c>
      <c r="D15" s="4" t="s">
        <v>45</v>
      </c>
      <c r="E15" s="5" t="s">
        <v>46</v>
      </c>
      <c r="F15" s="6">
        <v>9889.66</v>
      </c>
      <c r="G15" s="6">
        <v>0</v>
      </c>
      <c r="H15" s="6">
        <v>0</v>
      </c>
      <c r="I15" s="6">
        <v>0</v>
      </c>
      <c r="J15" s="6">
        <v>0</v>
      </c>
      <c r="K15" s="6">
        <v>90</v>
      </c>
      <c r="L15" s="6">
        <f t="shared" si="0"/>
        <v>9979.66</v>
      </c>
      <c r="M15" s="7">
        <v>0.18</v>
      </c>
      <c r="N15" s="6">
        <f t="shared" si="1"/>
        <v>1796.3388</v>
      </c>
      <c r="O15" s="7">
        <v>1.6500000000000001E-2</v>
      </c>
      <c r="P15" s="6">
        <f t="shared" si="2"/>
        <v>164.66439</v>
      </c>
      <c r="Q15" s="7">
        <v>7.5999999999999998E-2</v>
      </c>
      <c r="R15" s="6">
        <f t="shared" si="3"/>
        <v>758.45416</v>
      </c>
      <c r="S15" s="6">
        <f t="shared" si="4"/>
        <v>9979.66</v>
      </c>
      <c r="T15" s="6">
        <f t="shared" si="5"/>
        <v>2719.4573499999997</v>
      </c>
    </row>
    <row r="16" spans="1:20" ht="19.95" hidden="1" customHeight="1" x14ac:dyDescent="0.3">
      <c r="A16" s="4">
        <v>3014</v>
      </c>
      <c r="B16" s="4" t="s">
        <v>21</v>
      </c>
      <c r="C16" s="4" t="s">
        <v>47</v>
      </c>
      <c r="D16" s="4" t="s">
        <v>23</v>
      </c>
      <c r="E16" s="5" t="s">
        <v>24</v>
      </c>
      <c r="F16" s="6">
        <v>27918.29</v>
      </c>
      <c r="G16" s="6">
        <v>0</v>
      </c>
      <c r="H16" s="6">
        <v>0</v>
      </c>
      <c r="I16" s="6">
        <v>0</v>
      </c>
      <c r="J16" s="6">
        <v>25</v>
      </c>
      <c r="K16" s="6">
        <v>40</v>
      </c>
      <c r="L16" s="6">
        <f t="shared" si="0"/>
        <v>27983.29</v>
      </c>
      <c r="M16" s="7">
        <v>0.18</v>
      </c>
      <c r="N16" s="6">
        <f t="shared" si="1"/>
        <v>5036.9921999999997</v>
      </c>
      <c r="O16" s="7">
        <v>1.6500000000000001E-2</v>
      </c>
      <c r="P16" s="6">
        <f t="shared" si="2"/>
        <v>461.72428500000001</v>
      </c>
      <c r="Q16" s="7">
        <v>7.5999999999999998E-2</v>
      </c>
      <c r="R16" s="6">
        <f t="shared" si="3"/>
        <v>2126.7300399999999</v>
      </c>
      <c r="S16" s="6">
        <f t="shared" si="4"/>
        <v>27983.29</v>
      </c>
      <c r="T16" s="6">
        <f t="shared" si="5"/>
        <v>7625.4465249999994</v>
      </c>
    </row>
    <row r="17" spans="1:20" ht="19.95" hidden="1" customHeight="1" x14ac:dyDescent="0.3">
      <c r="A17" s="4">
        <v>3015</v>
      </c>
      <c r="B17" s="4" t="s">
        <v>21</v>
      </c>
      <c r="C17" s="4" t="s">
        <v>48</v>
      </c>
      <c r="D17" s="4" t="s">
        <v>29</v>
      </c>
      <c r="E17" s="5" t="s">
        <v>30</v>
      </c>
      <c r="F17" s="6">
        <v>24526.84</v>
      </c>
      <c r="G17" s="6">
        <v>100</v>
      </c>
      <c r="H17" s="6">
        <v>400</v>
      </c>
      <c r="I17" s="6">
        <v>0</v>
      </c>
      <c r="J17" s="6">
        <v>0</v>
      </c>
      <c r="K17" s="6">
        <v>0</v>
      </c>
      <c r="L17" s="6">
        <f t="shared" si="0"/>
        <v>24826.84</v>
      </c>
      <c r="M17" s="7">
        <v>0.18</v>
      </c>
      <c r="N17" s="6">
        <f t="shared" si="1"/>
        <v>4468.8311999999996</v>
      </c>
      <c r="O17" s="7">
        <v>1.6500000000000001E-2</v>
      </c>
      <c r="P17" s="6">
        <f t="shared" si="2"/>
        <v>409.64286000000004</v>
      </c>
      <c r="Q17" s="7">
        <v>7.5999999999999998E-2</v>
      </c>
      <c r="R17" s="6">
        <f t="shared" si="3"/>
        <v>1886.8398399999999</v>
      </c>
      <c r="S17" s="6">
        <f t="shared" si="4"/>
        <v>24826.84</v>
      </c>
      <c r="T17" s="6">
        <f t="shared" si="5"/>
        <v>6765.3138999999992</v>
      </c>
    </row>
    <row r="18" spans="1:20" ht="19.95" hidden="1" customHeight="1" x14ac:dyDescent="0.3">
      <c r="A18" s="4">
        <v>3016</v>
      </c>
      <c r="B18" s="4" t="s">
        <v>21</v>
      </c>
      <c r="C18" s="4" t="s">
        <v>47</v>
      </c>
      <c r="D18" s="4" t="s">
        <v>39</v>
      </c>
      <c r="E18" s="5" t="s">
        <v>40</v>
      </c>
      <c r="F18" s="6">
        <v>13995.85</v>
      </c>
      <c r="G18" s="6">
        <v>150</v>
      </c>
      <c r="H18" s="6">
        <v>250</v>
      </c>
      <c r="I18" s="6">
        <v>0</v>
      </c>
      <c r="J18" s="6">
        <v>25</v>
      </c>
      <c r="K18" s="6">
        <v>0</v>
      </c>
      <c r="L18" s="6">
        <f t="shared" si="0"/>
        <v>14120.85</v>
      </c>
      <c r="M18" s="7">
        <v>0.18</v>
      </c>
      <c r="N18" s="6">
        <f t="shared" si="1"/>
        <v>2541.7530000000002</v>
      </c>
      <c r="O18" s="7">
        <v>1.6500000000000001E-2</v>
      </c>
      <c r="P18" s="6">
        <f t="shared" si="2"/>
        <v>232.99402500000002</v>
      </c>
      <c r="Q18" s="7">
        <v>7.5999999999999998E-2</v>
      </c>
      <c r="R18" s="6">
        <f t="shared" si="3"/>
        <v>1073.1846</v>
      </c>
      <c r="S18" s="6">
        <f t="shared" si="4"/>
        <v>14120.85</v>
      </c>
      <c r="T18" s="6">
        <f t="shared" si="5"/>
        <v>3847.9316250000002</v>
      </c>
    </row>
    <row r="19" spans="1:20" ht="19.95" hidden="1" customHeight="1" x14ac:dyDescent="0.3">
      <c r="A19" s="4">
        <v>3017</v>
      </c>
      <c r="B19" s="4" t="s">
        <v>21</v>
      </c>
      <c r="C19" s="4" t="s">
        <v>44</v>
      </c>
      <c r="D19" s="4" t="s">
        <v>29</v>
      </c>
      <c r="E19" s="5" t="s">
        <v>30</v>
      </c>
      <c r="F19" s="6">
        <v>28293.93</v>
      </c>
      <c r="G19" s="6">
        <v>150</v>
      </c>
      <c r="H19" s="6">
        <v>80</v>
      </c>
      <c r="I19" s="6">
        <v>30</v>
      </c>
      <c r="J19" s="6">
        <v>0</v>
      </c>
      <c r="K19" s="6">
        <v>0</v>
      </c>
      <c r="L19" s="6">
        <f t="shared" si="0"/>
        <v>28253.93</v>
      </c>
      <c r="M19" s="7">
        <v>0.18</v>
      </c>
      <c r="N19" s="6">
        <f t="shared" si="1"/>
        <v>5085.7074000000002</v>
      </c>
      <c r="O19" s="7">
        <v>1.6500000000000001E-2</v>
      </c>
      <c r="P19" s="6">
        <f t="shared" si="2"/>
        <v>466.18984500000005</v>
      </c>
      <c r="Q19" s="7">
        <v>7.5999999999999998E-2</v>
      </c>
      <c r="R19" s="6">
        <f t="shared" si="3"/>
        <v>2147.2986799999999</v>
      </c>
      <c r="S19" s="6">
        <f t="shared" si="4"/>
        <v>28253.93</v>
      </c>
      <c r="T19" s="6">
        <f t="shared" si="5"/>
        <v>7699.195925</v>
      </c>
    </row>
    <row r="20" spans="1:20" ht="19.95" hidden="1" customHeight="1" x14ac:dyDescent="0.3">
      <c r="A20" s="4">
        <v>3018</v>
      </c>
      <c r="B20" s="4" t="s">
        <v>21</v>
      </c>
      <c r="C20" s="4" t="s">
        <v>49</v>
      </c>
      <c r="D20" s="4" t="s">
        <v>32</v>
      </c>
      <c r="E20" s="5" t="s">
        <v>33</v>
      </c>
      <c r="F20" s="6">
        <v>5671.22</v>
      </c>
      <c r="G20" s="6">
        <v>0</v>
      </c>
      <c r="H20" s="6">
        <v>0</v>
      </c>
      <c r="I20" s="6">
        <v>0</v>
      </c>
      <c r="J20" s="6">
        <v>25</v>
      </c>
      <c r="K20" s="6">
        <v>90</v>
      </c>
      <c r="L20" s="6">
        <f t="shared" si="0"/>
        <v>5786.22</v>
      </c>
      <c r="M20" s="7">
        <v>0.18</v>
      </c>
      <c r="N20" s="6">
        <f t="shared" si="1"/>
        <v>1041.5196000000001</v>
      </c>
      <c r="O20" s="7">
        <v>1.6500000000000001E-2</v>
      </c>
      <c r="P20" s="6">
        <f t="shared" si="2"/>
        <v>95.472630000000009</v>
      </c>
      <c r="Q20" s="7">
        <v>7.5999999999999998E-2</v>
      </c>
      <c r="R20" s="6">
        <f t="shared" si="3"/>
        <v>439.75272000000001</v>
      </c>
      <c r="S20" s="6">
        <f t="shared" si="4"/>
        <v>5786.22</v>
      </c>
      <c r="T20" s="6">
        <f t="shared" si="5"/>
        <v>1576.74495</v>
      </c>
    </row>
    <row r="21" spans="1:20" ht="19.95" hidden="1" customHeight="1" x14ac:dyDescent="0.3">
      <c r="A21" s="4">
        <v>3019</v>
      </c>
      <c r="B21" s="4" t="s">
        <v>21</v>
      </c>
      <c r="C21" s="4" t="s">
        <v>34</v>
      </c>
      <c r="D21" s="4" t="s">
        <v>39</v>
      </c>
      <c r="E21" s="5" t="s">
        <v>40</v>
      </c>
      <c r="F21" s="6">
        <v>18888.810000000001</v>
      </c>
      <c r="G21" s="6">
        <v>0</v>
      </c>
      <c r="H21" s="6">
        <v>0</v>
      </c>
      <c r="I21" s="6">
        <v>0</v>
      </c>
      <c r="J21" s="6">
        <v>60</v>
      </c>
      <c r="K21" s="6">
        <v>0</v>
      </c>
      <c r="L21" s="6">
        <f t="shared" si="0"/>
        <v>18948.810000000001</v>
      </c>
      <c r="M21" s="7">
        <v>0.18</v>
      </c>
      <c r="N21" s="6">
        <f t="shared" si="1"/>
        <v>3410.7858000000001</v>
      </c>
      <c r="O21" s="7">
        <v>1.6500000000000001E-2</v>
      </c>
      <c r="P21" s="6">
        <f t="shared" si="2"/>
        <v>312.65536500000002</v>
      </c>
      <c r="Q21" s="7">
        <v>7.5999999999999998E-2</v>
      </c>
      <c r="R21" s="6">
        <f t="shared" si="3"/>
        <v>1440.1095600000001</v>
      </c>
      <c r="S21" s="6">
        <f t="shared" si="4"/>
        <v>18948.810000000001</v>
      </c>
      <c r="T21" s="6">
        <f t="shared" si="5"/>
        <v>5163.5507250000001</v>
      </c>
    </row>
    <row r="22" spans="1:20" ht="19.95" hidden="1" customHeight="1" x14ac:dyDescent="0.3">
      <c r="A22" s="4">
        <v>3020</v>
      </c>
      <c r="B22" s="4" t="s">
        <v>21</v>
      </c>
      <c r="C22" s="4" t="s">
        <v>50</v>
      </c>
      <c r="D22" s="4" t="s">
        <v>23</v>
      </c>
      <c r="E22" s="5" t="s">
        <v>24</v>
      </c>
      <c r="F22" s="6">
        <v>28756.46</v>
      </c>
      <c r="G22" s="6">
        <v>150</v>
      </c>
      <c r="H22" s="6">
        <v>400</v>
      </c>
      <c r="I22" s="6">
        <v>0</v>
      </c>
      <c r="J22" s="6">
        <v>0</v>
      </c>
      <c r="K22" s="6">
        <v>0</v>
      </c>
      <c r="L22" s="6">
        <f t="shared" si="0"/>
        <v>29006.46</v>
      </c>
      <c r="M22" s="7">
        <v>0.18</v>
      </c>
      <c r="N22" s="6">
        <f t="shared" si="1"/>
        <v>5221.1628000000001</v>
      </c>
      <c r="O22" s="7">
        <v>1.6500000000000001E-2</v>
      </c>
      <c r="P22" s="6">
        <f t="shared" si="2"/>
        <v>478.60658999999998</v>
      </c>
      <c r="Q22" s="7">
        <v>7.5999999999999998E-2</v>
      </c>
      <c r="R22" s="6">
        <f t="shared" si="3"/>
        <v>2204.4909600000001</v>
      </c>
      <c r="S22" s="6">
        <f t="shared" si="4"/>
        <v>29006.46</v>
      </c>
      <c r="T22" s="6">
        <f t="shared" si="5"/>
        <v>7904.2603500000005</v>
      </c>
    </row>
    <row r="23" spans="1:20" ht="19.95" hidden="1" customHeight="1" x14ac:dyDescent="0.3">
      <c r="A23" s="4">
        <v>3021</v>
      </c>
      <c r="B23" s="4" t="s">
        <v>21</v>
      </c>
      <c r="C23" s="4" t="s">
        <v>51</v>
      </c>
      <c r="D23" s="4" t="s">
        <v>52</v>
      </c>
      <c r="E23" s="5" t="s">
        <v>53</v>
      </c>
      <c r="F23" s="6">
        <v>17867.080000000002</v>
      </c>
      <c r="G23" s="6">
        <v>200</v>
      </c>
      <c r="H23" s="6">
        <v>120</v>
      </c>
      <c r="I23" s="6">
        <v>0</v>
      </c>
      <c r="J23" s="6">
        <v>60</v>
      </c>
      <c r="K23" s="6">
        <v>0</v>
      </c>
      <c r="L23" s="6">
        <f t="shared" si="0"/>
        <v>17847.080000000002</v>
      </c>
      <c r="M23" s="7">
        <v>0.18</v>
      </c>
      <c r="N23" s="6">
        <f t="shared" si="1"/>
        <v>3212.4744000000001</v>
      </c>
      <c r="O23" s="7">
        <v>1.6500000000000001E-2</v>
      </c>
      <c r="P23" s="6">
        <f t="shared" si="2"/>
        <v>294.47682000000003</v>
      </c>
      <c r="Q23" s="7">
        <v>7.5999999999999998E-2</v>
      </c>
      <c r="R23" s="6">
        <f t="shared" si="3"/>
        <v>1356.3780800000002</v>
      </c>
      <c r="S23" s="6">
        <f t="shared" si="4"/>
        <v>17847.080000000002</v>
      </c>
      <c r="T23" s="6">
        <f t="shared" si="5"/>
        <v>4863.3293000000003</v>
      </c>
    </row>
    <row r="24" spans="1:20" ht="19.95" hidden="1" customHeight="1" x14ac:dyDescent="0.3">
      <c r="A24" s="4">
        <v>3022</v>
      </c>
      <c r="B24" s="4" t="s">
        <v>21</v>
      </c>
      <c r="C24" s="4" t="s">
        <v>38</v>
      </c>
      <c r="D24" s="4" t="s">
        <v>52</v>
      </c>
      <c r="E24" s="5" t="s">
        <v>53</v>
      </c>
      <c r="F24" s="6">
        <v>5239.66</v>
      </c>
      <c r="G24" s="6">
        <v>100</v>
      </c>
      <c r="H24" s="6">
        <v>400</v>
      </c>
      <c r="I24" s="6">
        <v>50</v>
      </c>
      <c r="J24" s="6">
        <v>0</v>
      </c>
      <c r="K24" s="6">
        <v>0</v>
      </c>
      <c r="L24" s="6">
        <f t="shared" si="0"/>
        <v>5589.66</v>
      </c>
      <c r="M24" s="7">
        <v>0.18</v>
      </c>
      <c r="N24" s="6">
        <f t="shared" si="1"/>
        <v>1006.1387999999999</v>
      </c>
      <c r="O24" s="7">
        <v>1.6500000000000001E-2</v>
      </c>
      <c r="P24" s="6">
        <f t="shared" si="2"/>
        <v>92.229389999999995</v>
      </c>
      <c r="Q24" s="7">
        <v>7.5999999999999998E-2</v>
      </c>
      <c r="R24" s="6">
        <f t="shared" si="3"/>
        <v>424.81415999999996</v>
      </c>
      <c r="S24" s="6">
        <f t="shared" si="4"/>
        <v>5589.66</v>
      </c>
      <c r="T24" s="6">
        <f t="shared" si="5"/>
        <v>1523.1823499999998</v>
      </c>
    </row>
    <row r="25" spans="1:20" ht="19.95" hidden="1" customHeight="1" x14ac:dyDescent="0.3">
      <c r="A25" s="4">
        <v>3023</v>
      </c>
      <c r="B25" s="4" t="s">
        <v>21</v>
      </c>
      <c r="C25" s="4" t="s">
        <v>44</v>
      </c>
      <c r="D25" s="4" t="s">
        <v>42</v>
      </c>
      <c r="E25" s="5" t="s">
        <v>43</v>
      </c>
      <c r="F25" s="6">
        <v>28149.09</v>
      </c>
      <c r="G25" s="6">
        <v>200</v>
      </c>
      <c r="H25" s="6">
        <v>250</v>
      </c>
      <c r="I25" s="6">
        <v>0</v>
      </c>
      <c r="J25" s="6">
        <v>60</v>
      </c>
      <c r="K25" s="6">
        <v>40</v>
      </c>
      <c r="L25" s="6">
        <f t="shared" si="0"/>
        <v>28299.09</v>
      </c>
      <c r="M25" s="7">
        <v>0.18</v>
      </c>
      <c r="N25" s="6">
        <f t="shared" si="1"/>
        <v>5093.8361999999997</v>
      </c>
      <c r="O25" s="7">
        <v>1.6500000000000001E-2</v>
      </c>
      <c r="P25" s="6">
        <f t="shared" si="2"/>
        <v>466.93498500000004</v>
      </c>
      <c r="Q25" s="7">
        <v>7.5999999999999998E-2</v>
      </c>
      <c r="R25" s="6">
        <f t="shared" si="3"/>
        <v>2150.7308400000002</v>
      </c>
      <c r="S25" s="6">
        <f t="shared" si="4"/>
        <v>28299.09</v>
      </c>
      <c r="T25" s="6">
        <f t="shared" si="5"/>
        <v>7711.5020249999998</v>
      </c>
    </row>
    <row r="26" spans="1:20" ht="19.95" hidden="1" customHeight="1" x14ac:dyDescent="0.3">
      <c r="A26" s="4">
        <v>3024</v>
      </c>
      <c r="B26" s="4" t="s">
        <v>21</v>
      </c>
      <c r="C26" s="4" t="s">
        <v>54</v>
      </c>
      <c r="D26" s="4" t="s">
        <v>42</v>
      </c>
      <c r="E26" s="5" t="s">
        <v>43</v>
      </c>
      <c r="F26" s="6">
        <v>16320.88</v>
      </c>
      <c r="G26" s="6">
        <v>0</v>
      </c>
      <c r="H26" s="6">
        <v>120</v>
      </c>
      <c r="I26" s="6">
        <v>0</v>
      </c>
      <c r="J26" s="6">
        <v>0</v>
      </c>
      <c r="K26" s="6">
        <v>40</v>
      </c>
      <c r="L26" s="6">
        <f t="shared" si="0"/>
        <v>16480.879999999997</v>
      </c>
      <c r="M26" s="7">
        <v>0.18</v>
      </c>
      <c r="N26" s="6">
        <f t="shared" si="1"/>
        <v>2966.5583999999994</v>
      </c>
      <c r="O26" s="7">
        <v>1.6500000000000001E-2</v>
      </c>
      <c r="P26" s="6">
        <f t="shared" si="2"/>
        <v>271.93451999999996</v>
      </c>
      <c r="Q26" s="7">
        <v>7.5999999999999998E-2</v>
      </c>
      <c r="R26" s="6">
        <f t="shared" si="3"/>
        <v>1252.5468799999999</v>
      </c>
      <c r="S26" s="6">
        <f t="shared" si="4"/>
        <v>16480.879999999997</v>
      </c>
      <c r="T26" s="6">
        <f t="shared" si="5"/>
        <v>4491.0397999999986</v>
      </c>
    </row>
    <row r="27" spans="1:20" ht="19.95" customHeight="1" x14ac:dyDescent="0.3">
      <c r="A27" s="4">
        <v>3025</v>
      </c>
      <c r="B27" s="4" t="s">
        <v>21</v>
      </c>
      <c r="C27" s="4" t="s">
        <v>55</v>
      </c>
      <c r="D27" s="4" t="s">
        <v>39</v>
      </c>
      <c r="E27" s="5" t="s">
        <v>40</v>
      </c>
      <c r="F27" s="6">
        <v>2964.2</v>
      </c>
      <c r="G27" s="6">
        <v>0</v>
      </c>
      <c r="H27" s="6">
        <v>400</v>
      </c>
      <c r="I27" s="6">
        <v>0</v>
      </c>
      <c r="J27" s="6">
        <v>0</v>
      </c>
      <c r="K27" s="6">
        <v>0</v>
      </c>
      <c r="L27" s="6">
        <f t="shared" si="0"/>
        <v>3364.2</v>
      </c>
      <c r="M27" s="7">
        <v>0.18</v>
      </c>
      <c r="N27" s="6">
        <f t="shared" si="1"/>
        <v>605.55599999999993</v>
      </c>
      <c r="O27" s="7">
        <v>1.6500000000000001E-2</v>
      </c>
      <c r="P27" s="6">
        <f t="shared" si="2"/>
        <v>55.509299999999996</v>
      </c>
      <c r="Q27" s="7">
        <v>7.5999999999999998E-2</v>
      </c>
      <c r="R27" s="6">
        <f t="shared" si="3"/>
        <v>255.67919999999998</v>
      </c>
      <c r="S27" s="6">
        <f t="shared" si="4"/>
        <v>3364.2</v>
      </c>
      <c r="T27" s="6">
        <f t="shared" si="5"/>
        <v>916.74450000000002</v>
      </c>
    </row>
    <row r="28" spans="1:20" ht="19.95" hidden="1" customHeight="1" x14ac:dyDescent="0.3">
      <c r="A28" s="4">
        <v>3026</v>
      </c>
      <c r="B28" s="4" t="s">
        <v>21</v>
      </c>
      <c r="C28" s="4" t="s">
        <v>48</v>
      </c>
      <c r="D28" s="4" t="s">
        <v>29</v>
      </c>
      <c r="E28" s="5" t="s">
        <v>30</v>
      </c>
      <c r="F28" s="6">
        <v>10841.16</v>
      </c>
      <c r="G28" s="6">
        <v>0</v>
      </c>
      <c r="H28" s="6">
        <v>120</v>
      </c>
      <c r="I28" s="6">
        <v>0</v>
      </c>
      <c r="J28" s="6">
        <v>0</v>
      </c>
      <c r="K28" s="6">
        <v>40</v>
      </c>
      <c r="L28" s="6">
        <f t="shared" si="0"/>
        <v>11001.16</v>
      </c>
      <c r="M28" s="7">
        <v>0.18</v>
      </c>
      <c r="N28" s="6">
        <f t="shared" si="1"/>
        <v>1980.2087999999999</v>
      </c>
      <c r="O28" s="7">
        <v>1.6500000000000001E-2</v>
      </c>
      <c r="P28" s="6">
        <f t="shared" si="2"/>
        <v>181.51913999999999</v>
      </c>
      <c r="Q28" s="7">
        <v>7.5999999999999998E-2</v>
      </c>
      <c r="R28" s="6">
        <f t="shared" si="3"/>
        <v>836.08816000000002</v>
      </c>
      <c r="S28" s="6">
        <f t="shared" si="4"/>
        <v>11001.16</v>
      </c>
      <c r="T28" s="6">
        <f t="shared" si="5"/>
        <v>2997.8161</v>
      </c>
    </row>
    <row r="29" spans="1:20" ht="19.95" hidden="1" customHeight="1" x14ac:dyDescent="0.3">
      <c r="A29" s="4">
        <v>3027</v>
      </c>
      <c r="B29" s="4" t="s">
        <v>21</v>
      </c>
      <c r="C29" s="4" t="s">
        <v>47</v>
      </c>
      <c r="D29" s="4" t="s">
        <v>52</v>
      </c>
      <c r="E29" s="5" t="s">
        <v>53</v>
      </c>
      <c r="F29" s="6">
        <v>19130.27</v>
      </c>
      <c r="G29" s="6">
        <v>0</v>
      </c>
      <c r="H29" s="6">
        <v>0</v>
      </c>
      <c r="I29" s="6">
        <v>50</v>
      </c>
      <c r="J29" s="6">
        <v>60</v>
      </c>
      <c r="K29" s="6">
        <v>0</v>
      </c>
      <c r="L29" s="6">
        <f t="shared" si="0"/>
        <v>19240.27</v>
      </c>
      <c r="M29" s="7">
        <v>0.18</v>
      </c>
      <c r="N29" s="6">
        <f t="shared" si="1"/>
        <v>3463.2485999999999</v>
      </c>
      <c r="O29" s="7">
        <v>1.6500000000000001E-2</v>
      </c>
      <c r="P29" s="6">
        <f t="shared" si="2"/>
        <v>317.46445500000004</v>
      </c>
      <c r="Q29" s="7">
        <v>7.5999999999999998E-2</v>
      </c>
      <c r="R29" s="6">
        <f t="shared" si="3"/>
        <v>1462.26052</v>
      </c>
      <c r="S29" s="6">
        <f t="shared" si="4"/>
        <v>19240.27</v>
      </c>
      <c r="T29" s="6">
        <f t="shared" si="5"/>
        <v>5242.973575</v>
      </c>
    </row>
    <row r="30" spans="1:20" ht="19.95" hidden="1" customHeight="1" x14ac:dyDescent="0.3">
      <c r="A30" s="4">
        <v>3028</v>
      </c>
      <c r="B30" s="4" t="s">
        <v>21</v>
      </c>
      <c r="C30" s="4" t="s">
        <v>44</v>
      </c>
      <c r="D30" s="4" t="s">
        <v>52</v>
      </c>
      <c r="E30" s="5" t="s">
        <v>53</v>
      </c>
      <c r="F30" s="6">
        <v>11087.94</v>
      </c>
      <c r="G30" s="6">
        <v>100</v>
      </c>
      <c r="H30" s="6">
        <v>0</v>
      </c>
      <c r="I30" s="6">
        <v>0</v>
      </c>
      <c r="J30" s="6">
        <v>60</v>
      </c>
      <c r="K30" s="6">
        <v>40</v>
      </c>
      <c r="L30" s="6">
        <f t="shared" si="0"/>
        <v>11087.94</v>
      </c>
      <c r="M30" s="7">
        <v>0.18</v>
      </c>
      <c r="N30" s="6">
        <f t="shared" si="1"/>
        <v>1995.8292000000001</v>
      </c>
      <c r="O30" s="7">
        <v>1.6500000000000001E-2</v>
      </c>
      <c r="P30" s="6">
        <f t="shared" si="2"/>
        <v>182.95101000000003</v>
      </c>
      <c r="Q30" s="7">
        <v>7.5999999999999998E-2</v>
      </c>
      <c r="R30" s="6">
        <f t="shared" si="3"/>
        <v>842.68344000000002</v>
      </c>
      <c r="S30" s="6">
        <f t="shared" si="4"/>
        <v>11087.94</v>
      </c>
      <c r="T30" s="6">
        <f t="shared" si="5"/>
        <v>3021.4636500000006</v>
      </c>
    </row>
    <row r="31" spans="1:20" ht="19.95" hidden="1" customHeight="1" x14ac:dyDescent="0.3">
      <c r="A31" s="4">
        <v>3029</v>
      </c>
      <c r="B31" s="4" t="s">
        <v>21</v>
      </c>
      <c r="C31" s="4" t="s">
        <v>56</v>
      </c>
      <c r="D31" s="4" t="s">
        <v>45</v>
      </c>
      <c r="E31" s="5" t="s">
        <v>46</v>
      </c>
      <c r="F31" s="6">
        <v>19946.07</v>
      </c>
      <c r="G31" s="6">
        <v>0</v>
      </c>
      <c r="H31" s="6">
        <v>0</v>
      </c>
      <c r="I31" s="6">
        <v>50</v>
      </c>
      <c r="J31" s="6">
        <v>0</v>
      </c>
      <c r="K31" s="6">
        <v>40</v>
      </c>
      <c r="L31" s="6">
        <f t="shared" si="0"/>
        <v>20036.07</v>
      </c>
      <c r="M31" s="7">
        <v>0.18</v>
      </c>
      <c r="N31" s="6">
        <f t="shared" si="1"/>
        <v>3606.4926</v>
      </c>
      <c r="O31" s="7">
        <v>1.6500000000000001E-2</v>
      </c>
      <c r="P31" s="6">
        <f t="shared" si="2"/>
        <v>330.59515500000003</v>
      </c>
      <c r="Q31" s="7">
        <v>7.5999999999999998E-2</v>
      </c>
      <c r="R31" s="6">
        <f t="shared" si="3"/>
        <v>1522.7413199999999</v>
      </c>
      <c r="S31" s="6">
        <f t="shared" si="4"/>
        <v>20036.07</v>
      </c>
      <c r="T31" s="6">
        <f t="shared" si="5"/>
        <v>5459.8290749999996</v>
      </c>
    </row>
    <row r="32" spans="1:20" ht="19.95" hidden="1" customHeight="1" x14ac:dyDescent="0.3">
      <c r="A32" s="4">
        <v>3030</v>
      </c>
      <c r="B32" s="4" t="s">
        <v>21</v>
      </c>
      <c r="C32" s="4" t="s">
        <v>35</v>
      </c>
      <c r="D32" s="4" t="s">
        <v>45</v>
      </c>
      <c r="E32" s="5" t="s">
        <v>46</v>
      </c>
      <c r="F32" s="6">
        <v>15289.46</v>
      </c>
      <c r="G32" s="6">
        <v>150</v>
      </c>
      <c r="H32" s="6">
        <v>0</v>
      </c>
      <c r="I32" s="6">
        <v>0</v>
      </c>
      <c r="J32" s="6">
        <v>60</v>
      </c>
      <c r="K32" s="6">
        <v>0</v>
      </c>
      <c r="L32" s="6">
        <f t="shared" si="0"/>
        <v>15199.46</v>
      </c>
      <c r="M32" s="7">
        <v>0.18</v>
      </c>
      <c r="N32" s="6">
        <f t="shared" si="1"/>
        <v>2735.9027999999998</v>
      </c>
      <c r="O32" s="7">
        <v>1.6500000000000001E-2</v>
      </c>
      <c r="P32" s="6">
        <f t="shared" si="2"/>
        <v>250.79109</v>
      </c>
      <c r="Q32" s="7">
        <v>7.5999999999999998E-2</v>
      </c>
      <c r="R32" s="6">
        <f t="shared" si="3"/>
        <v>1155.15896</v>
      </c>
      <c r="S32" s="6">
        <f t="shared" si="4"/>
        <v>15199.46</v>
      </c>
      <c r="T32" s="6">
        <f t="shared" si="5"/>
        <v>4141.8528500000002</v>
      </c>
    </row>
    <row r="33" spans="1:20" ht="19.95" hidden="1" customHeight="1" x14ac:dyDescent="0.3">
      <c r="A33" s="4">
        <v>3031</v>
      </c>
      <c r="B33" s="4" t="s">
        <v>21</v>
      </c>
      <c r="C33" s="4" t="s">
        <v>31</v>
      </c>
      <c r="D33" s="4" t="s">
        <v>23</v>
      </c>
      <c r="E33" s="5" t="s">
        <v>24</v>
      </c>
      <c r="F33" s="6">
        <v>26996.55</v>
      </c>
      <c r="G33" s="6">
        <v>0</v>
      </c>
      <c r="H33" s="6">
        <v>0</v>
      </c>
      <c r="I33" s="6">
        <v>0</v>
      </c>
      <c r="J33" s="6">
        <v>25</v>
      </c>
      <c r="K33" s="6">
        <v>0</v>
      </c>
      <c r="L33" s="6">
        <f t="shared" si="0"/>
        <v>27021.55</v>
      </c>
      <c r="M33" s="7">
        <v>0.18</v>
      </c>
      <c r="N33" s="6">
        <f t="shared" si="1"/>
        <v>4863.8789999999999</v>
      </c>
      <c r="O33" s="7">
        <v>1.6500000000000001E-2</v>
      </c>
      <c r="P33" s="6">
        <f t="shared" si="2"/>
        <v>445.85557499999999</v>
      </c>
      <c r="Q33" s="7">
        <v>7.5999999999999998E-2</v>
      </c>
      <c r="R33" s="6">
        <f t="shared" si="3"/>
        <v>2053.6378</v>
      </c>
      <c r="S33" s="6">
        <f t="shared" si="4"/>
        <v>27021.55</v>
      </c>
      <c r="T33" s="6">
        <f t="shared" si="5"/>
        <v>7363.372374999999</v>
      </c>
    </row>
    <row r="34" spans="1:20" ht="19.95" hidden="1" customHeight="1" x14ac:dyDescent="0.3">
      <c r="A34" s="4">
        <v>3032</v>
      </c>
      <c r="B34" s="4" t="s">
        <v>21</v>
      </c>
      <c r="C34" s="4" t="s">
        <v>44</v>
      </c>
      <c r="D34" s="4" t="s">
        <v>23</v>
      </c>
      <c r="E34" s="5" t="s">
        <v>24</v>
      </c>
      <c r="F34" s="6">
        <v>13301.47</v>
      </c>
      <c r="G34" s="6">
        <v>0</v>
      </c>
      <c r="H34" s="6">
        <v>120</v>
      </c>
      <c r="I34" s="6">
        <v>0</v>
      </c>
      <c r="J34" s="6">
        <v>0</v>
      </c>
      <c r="K34" s="6">
        <v>0</v>
      </c>
      <c r="L34" s="6">
        <f t="shared" si="0"/>
        <v>13421.47</v>
      </c>
      <c r="M34" s="7">
        <v>0.18</v>
      </c>
      <c r="N34" s="6">
        <f t="shared" si="1"/>
        <v>2415.8645999999999</v>
      </c>
      <c r="O34" s="7">
        <v>1.6500000000000001E-2</v>
      </c>
      <c r="P34" s="6">
        <f t="shared" si="2"/>
        <v>221.45425499999999</v>
      </c>
      <c r="Q34" s="7">
        <v>7.5999999999999998E-2</v>
      </c>
      <c r="R34" s="6">
        <f t="shared" si="3"/>
        <v>1020.03172</v>
      </c>
      <c r="S34" s="6">
        <f t="shared" si="4"/>
        <v>13421.47</v>
      </c>
      <c r="T34" s="6">
        <f t="shared" si="5"/>
        <v>3657.3505749999999</v>
      </c>
    </row>
    <row r="35" spans="1:20" ht="19.95" hidden="1" customHeight="1" x14ac:dyDescent="0.3">
      <c r="A35" s="4">
        <v>3033</v>
      </c>
      <c r="B35" s="4" t="s">
        <v>21</v>
      </c>
      <c r="C35" s="4" t="s">
        <v>57</v>
      </c>
      <c r="D35" s="4" t="s">
        <v>58</v>
      </c>
      <c r="E35" s="5" t="s">
        <v>59</v>
      </c>
      <c r="F35" s="6">
        <v>14721.58</v>
      </c>
      <c r="G35" s="6">
        <v>200</v>
      </c>
      <c r="H35" s="6">
        <v>120</v>
      </c>
      <c r="I35" s="6">
        <v>0</v>
      </c>
      <c r="J35" s="6">
        <v>25</v>
      </c>
      <c r="K35" s="6">
        <v>0</v>
      </c>
      <c r="L35" s="6">
        <f t="shared" si="0"/>
        <v>14666.58</v>
      </c>
      <c r="M35" s="7">
        <v>0.18</v>
      </c>
      <c r="N35" s="6">
        <f t="shared" si="1"/>
        <v>2639.9843999999998</v>
      </c>
      <c r="O35" s="7">
        <v>1.6500000000000001E-2</v>
      </c>
      <c r="P35" s="6">
        <f t="shared" si="2"/>
        <v>241.99857</v>
      </c>
      <c r="Q35" s="7">
        <v>7.5999999999999998E-2</v>
      </c>
      <c r="R35" s="6">
        <f t="shared" si="3"/>
        <v>1114.6600799999999</v>
      </c>
      <c r="S35" s="6">
        <f t="shared" si="4"/>
        <v>14666.58</v>
      </c>
      <c r="T35" s="6">
        <f t="shared" si="5"/>
        <v>3996.6430499999997</v>
      </c>
    </row>
    <row r="36" spans="1:20" ht="19.95" hidden="1" customHeight="1" x14ac:dyDescent="0.3">
      <c r="A36" s="4">
        <v>3034</v>
      </c>
      <c r="B36" s="4" t="s">
        <v>21</v>
      </c>
      <c r="C36" s="4" t="s">
        <v>51</v>
      </c>
      <c r="D36" s="4" t="s">
        <v>23</v>
      </c>
      <c r="E36" s="5" t="s">
        <v>24</v>
      </c>
      <c r="F36" s="6">
        <v>15238.5</v>
      </c>
      <c r="G36" s="6">
        <v>0</v>
      </c>
      <c r="H36" s="6">
        <v>250</v>
      </c>
      <c r="I36" s="6">
        <v>50</v>
      </c>
      <c r="J36" s="6">
        <v>0</v>
      </c>
      <c r="K36" s="6">
        <v>0</v>
      </c>
      <c r="L36" s="6">
        <f t="shared" si="0"/>
        <v>15538.5</v>
      </c>
      <c r="M36" s="7">
        <v>0.18</v>
      </c>
      <c r="N36" s="6">
        <f t="shared" si="1"/>
        <v>2796.93</v>
      </c>
      <c r="O36" s="7">
        <v>1.6500000000000001E-2</v>
      </c>
      <c r="P36" s="6">
        <f t="shared" si="2"/>
        <v>256.38524999999998</v>
      </c>
      <c r="Q36" s="7">
        <v>7.5999999999999998E-2</v>
      </c>
      <c r="R36" s="6">
        <f t="shared" si="3"/>
        <v>1180.9259999999999</v>
      </c>
      <c r="S36" s="6">
        <f t="shared" si="4"/>
        <v>15538.5</v>
      </c>
      <c r="T36" s="6">
        <f t="shared" si="5"/>
        <v>4234.2412499999991</v>
      </c>
    </row>
    <row r="37" spans="1:20" ht="19.95" hidden="1" customHeight="1" x14ac:dyDescent="0.3">
      <c r="A37" s="4">
        <v>3035</v>
      </c>
      <c r="B37" s="4" t="s">
        <v>21</v>
      </c>
      <c r="C37" s="4" t="s">
        <v>35</v>
      </c>
      <c r="D37" s="4" t="s">
        <v>45</v>
      </c>
      <c r="E37" s="5" t="s">
        <v>46</v>
      </c>
      <c r="F37" s="6">
        <v>8093.04</v>
      </c>
      <c r="G37" s="6">
        <v>0</v>
      </c>
      <c r="H37" s="6">
        <v>120</v>
      </c>
      <c r="I37" s="6">
        <v>0</v>
      </c>
      <c r="J37" s="6">
        <v>25</v>
      </c>
      <c r="K37" s="6">
        <v>90</v>
      </c>
      <c r="L37" s="6">
        <f t="shared" si="0"/>
        <v>8328.0400000000009</v>
      </c>
      <c r="M37" s="7">
        <v>0.18</v>
      </c>
      <c r="N37" s="6">
        <f t="shared" si="1"/>
        <v>1499.0472000000002</v>
      </c>
      <c r="O37" s="7">
        <v>1.6500000000000001E-2</v>
      </c>
      <c r="P37" s="6">
        <f t="shared" si="2"/>
        <v>137.41266000000002</v>
      </c>
      <c r="Q37" s="7">
        <v>7.5999999999999998E-2</v>
      </c>
      <c r="R37" s="6">
        <f t="shared" si="3"/>
        <v>632.93104000000005</v>
      </c>
      <c r="S37" s="6">
        <f t="shared" si="4"/>
        <v>8328.0400000000009</v>
      </c>
      <c r="T37" s="6">
        <f t="shared" si="5"/>
        <v>2269.3909000000003</v>
      </c>
    </row>
    <row r="38" spans="1:20" ht="19.95" hidden="1" customHeight="1" x14ac:dyDescent="0.3">
      <c r="A38" s="4">
        <v>3036</v>
      </c>
      <c r="B38" s="4" t="s">
        <v>21</v>
      </c>
      <c r="C38" s="4" t="s">
        <v>31</v>
      </c>
      <c r="D38" s="4" t="s">
        <v>42</v>
      </c>
      <c r="E38" s="5" t="s">
        <v>43</v>
      </c>
      <c r="F38" s="6">
        <v>28894.16</v>
      </c>
      <c r="G38" s="6">
        <v>0</v>
      </c>
      <c r="H38" s="6">
        <v>0</v>
      </c>
      <c r="I38" s="6">
        <v>0</v>
      </c>
      <c r="J38" s="6">
        <v>60</v>
      </c>
      <c r="K38" s="6">
        <v>90</v>
      </c>
      <c r="L38" s="6">
        <f t="shared" si="0"/>
        <v>29044.16</v>
      </c>
      <c r="M38" s="7">
        <v>0.18</v>
      </c>
      <c r="N38" s="6">
        <f t="shared" si="1"/>
        <v>5227.9488000000001</v>
      </c>
      <c r="O38" s="7">
        <v>1.6500000000000001E-2</v>
      </c>
      <c r="P38" s="6">
        <f t="shared" si="2"/>
        <v>479.22864000000004</v>
      </c>
      <c r="Q38" s="7">
        <v>7.5999999999999998E-2</v>
      </c>
      <c r="R38" s="6">
        <f t="shared" si="3"/>
        <v>2207.3561599999998</v>
      </c>
      <c r="S38" s="6">
        <f t="shared" si="4"/>
        <v>29044.16</v>
      </c>
      <c r="T38" s="6">
        <f t="shared" si="5"/>
        <v>7914.5336000000007</v>
      </c>
    </row>
    <row r="39" spans="1:20" ht="19.95" hidden="1" customHeight="1" x14ac:dyDescent="0.3">
      <c r="A39" s="4">
        <v>3037</v>
      </c>
      <c r="B39" s="4" t="s">
        <v>21</v>
      </c>
      <c r="C39" s="4" t="s">
        <v>31</v>
      </c>
      <c r="D39" s="4" t="s">
        <v>23</v>
      </c>
      <c r="E39" s="5" t="s">
        <v>24</v>
      </c>
      <c r="F39" s="6">
        <v>7671.46</v>
      </c>
      <c r="G39" s="6">
        <v>100</v>
      </c>
      <c r="H39" s="6">
        <v>400</v>
      </c>
      <c r="I39" s="6">
        <v>0</v>
      </c>
      <c r="J39" s="6">
        <v>60</v>
      </c>
      <c r="K39" s="6">
        <v>90</v>
      </c>
      <c r="L39" s="6">
        <f t="shared" si="0"/>
        <v>8121.46</v>
      </c>
      <c r="M39" s="7">
        <v>0.18</v>
      </c>
      <c r="N39" s="6">
        <f t="shared" si="1"/>
        <v>1461.8627999999999</v>
      </c>
      <c r="O39" s="7">
        <v>1.6500000000000001E-2</v>
      </c>
      <c r="P39" s="6">
        <f t="shared" si="2"/>
        <v>134.00409000000002</v>
      </c>
      <c r="Q39" s="7">
        <v>7.5999999999999998E-2</v>
      </c>
      <c r="R39" s="6">
        <f t="shared" si="3"/>
        <v>617.23095999999998</v>
      </c>
      <c r="S39" s="6">
        <f t="shared" si="4"/>
        <v>8121.46</v>
      </c>
      <c r="T39" s="6">
        <f t="shared" si="5"/>
        <v>2213.0978499999997</v>
      </c>
    </row>
    <row r="40" spans="1:20" ht="19.95" customHeight="1" x14ac:dyDescent="0.3">
      <c r="A40" s="4">
        <v>3038</v>
      </c>
      <c r="B40" s="4" t="s">
        <v>21</v>
      </c>
      <c r="C40" s="4" t="s">
        <v>60</v>
      </c>
      <c r="D40" s="4" t="s">
        <v>45</v>
      </c>
      <c r="E40" s="5" t="s">
        <v>46</v>
      </c>
      <c r="F40" s="6">
        <v>17740.3</v>
      </c>
      <c r="G40" s="6">
        <v>100</v>
      </c>
      <c r="H40" s="6">
        <v>80</v>
      </c>
      <c r="I40" s="6">
        <v>50</v>
      </c>
      <c r="J40" s="6">
        <v>0</v>
      </c>
      <c r="K40" s="6">
        <v>0</v>
      </c>
      <c r="L40" s="6">
        <f t="shared" si="0"/>
        <v>17770.3</v>
      </c>
      <c r="M40" s="7">
        <v>0.18</v>
      </c>
      <c r="N40" s="6">
        <f t="shared" si="1"/>
        <v>3198.6539999999995</v>
      </c>
      <c r="O40" s="7">
        <v>1.6500000000000001E-2</v>
      </c>
      <c r="P40" s="6">
        <f t="shared" si="2"/>
        <v>293.20994999999999</v>
      </c>
      <c r="Q40" s="7">
        <v>7.5999999999999998E-2</v>
      </c>
      <c r="R40" s="6">
        <f t="shared" si="3"/>
        <v>1350.5427999999999</v>
      </c>
      <c r="S40" s="6">
        <f t="shared" si="4"/>
        <v>17770.3</v>
      </c>
      <c r="T40" s="6">
        <f t="shared" si="5"/>
        <v>4842.4067499999992</v>
      </c>
    </row>
    <row r="41" spans="1:20" ht="19.95" hidden="1" customHeight="1" x14ac:dyDescent="0.3">
      <c r="A41" s="4">
        <v>3039</v>
      </c>
      <c r="B41" s="4" t="s">
        <v>21</v>
      </c>
      <c r="C41" s="4" t="s">
        <v>31</v>
      </c>
      <c r="D41" s="4" t="s">
        <v>58</v>
      </c>
      <c r="E41" s="5" t="s">
        <v>59</v>
      </c>
      <c r="F41" s="6">
        <v>4248.28</v>
      </c>
      <c r="G41" s="6">
        <v>50</v>
      </c>
      <c r="H41" s="6">
        <v>0</v>
      </c>
      <c r="I41" s="6">
        <v>0</v>
      </c>
      <c r="J41" s="6">
        <v>0</v>
      </c>
      <c r="K41" s="6">
        <v>0</v>
      </c>
      <c r="L41" s="6">
        <f t="shared" si="0"/>
        <v>4198.28</v>
      </c>
      <c r="M41" s="7">
        <v>0.18</v>
      </c>
      <c r="N41" s="6">
        <f t="shared" si="1"/>
        <v>755.69039999999995</v>
      </c>
      <c r="O41" s="7">
        <v>1.6500000000000001E-2</v>
      </c>
      <c r="P41" s="6">
        <f t="shared" si="2"/>
        <v>69.271619999999999</v>
      </c>
      <c r="Q41" s="7">
        <v>7.5999999999999998E-2</v>
      </c>
      <c r="R41" s="6">
        <f t="shared" si="3"/>
        <v>319.06927999999999</v>
      </c>
      <c r="S41" s="6">
        <f t="shared" si="4"/>
        <v>4198.28</v>
      </c>
      <c r="T41" s="6">
        <f t="shared" si="5"/>
        <v>1144.0312999999999</v>
      </c>
    </row>
    <row r="42" spans="1:20" ht="19.95" hidden="1" customHeight="1" x14ac:dyDescent="0.3">
      <c r="A42" s="4">
        <v>3040</v>
      </c>
      <c r="B42" s="4" t="s">
        <v>21</v>
      </c>
      <c r="C42" s="4" t="s">
        <v>60</v>
      </c>
      <c r="D42" s="4" t="s">
        <v>42</v>
      </c>
      <c r="E42" s="5" t="s">
        <v>43</v>
      </c>
      <c r="F42" s="6">
        <v>19909.419999999998</v>
      </c>
      <c r="G42" s="6">
        <v>0</v>
      </c>
      <c r="H42" s="6">
        <v>250</v>
      </c>
      <c r="I42" s="6">
        <v>0</v>
      </c>
      <c r="J42" s="6">
        <v>0</v>
      </c>
      <c r="K42" s="6">
        <v>90</v>
      </c>
      <c r="L42" s="6">
        <f t="shared" si="0"/>
        <v>20249.419999999998</v>
      </c>
      <c r="M42" s="7">
        <v>0.18</v>
      </c>
      <c r="N42" s="6">
        <f t="shared" si="1"/>
        <v>3644.8955999999994</v>
      </c>
      <c r="O42" s="7">
        <v>1.6500000000000001E-2</v>
      </c>
      <c r="P42" s="6">
        <f t="shared" si="2"/>
        <v>334.11543</v>
      </c>
      <c r="Q42" s="7">
        <v>7.5999999999999998E-2</v>
      </c>
      <c r="R42" s="6">
        <f t="shared" si="3"/>
        <v>1538.9559199999999</v>
      </c>
      <c r="S42" s="6">
        <f t="shared" si="4"/>
        <v>20249.419999999998</v>
      </c>
      <c r="T42" s="6">
        <f t="shared" si="5"/>
        <v>5517.9669499999991</v>
      </c>
    </row>
    <row r="43" spans="1:20" ht="19.95" hidden="1" customHeight="1" x14ac:dyDescent="0.3">
      <c r="A43" s="4">
        <v>3041</v>
      </c>
      <c r="B43" s="4" t="s">
        <v>21</v>
      </c>
      <c r="C43" s="4" t="s">
        <v>28</v>
      </c>
      <c r="D43" s="4" t="s">
        <v>39</v>
      </c>
      <c r="E43" s="5" t="s">
        <v>40</v>
      </c>
      <c r="F43" s="6">
        <v>9794.5300000000007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f t="shared" si="0"/>
        <v>9794.5300000000007</v>
      </c>
      <c r="M43" s="7">
        <v>0.18</v>
      </c>
      <c r="N43" s="6">
        <f t="shared" si="1"/>
        <v>1763.0154</v>
      </c>
      <c r="O43" s="7">
        <v>1.6500000000000001E-2</v>
      </c>
      <c r="P43" s="6">
        <f t="shared" si="2"/>
        <v>161.60974500000003</v>
      </c>
      <c r="Q43" s="7">
        <v>7.5999999999999998E-2</v>
      </c>
      <c r="R43" s="6">
        <f t="shared" si="3"/>
        <v>744.38427999999999</v>
      </c>
      <c r="S43" s="6">
        <f t="shared" si="4"/>
        <v>9794.5300000000007</v>
      </c>
      <c r="T43" s="6">
        <f t="shared" si="5"/>
        <v>2669.0094250000002</v>
      </c>
    </row>
    <row r="44" spans="1:20" ht="19.95" hidden="1" customHeight="1" x14ac:dyDescent="0.3">
      <c r="A44" s="4">
        <v>3042</v>
      </c>
      <c r="B44" s="4" t="s">
        <v>21</v>
      </c>
      <c r="C44" s="4" t="s">
        <v>61</v>
      </c>
      <c r="D44" s="4" t="s">
        <v>32</v>
      </c>
      <c r="E44" s="5" t="s">
        <v>33</v>
      </c>
      <c r="F44" s="6">
        <v>26195.07</v>
      </c>
      <c r="G44" s="6">
        <v>200</v>
      </c>
      <c r="H44" s="6">
        <v>80</v>
      </c>
      <c r="I44" s="6">
        <v>30</v>
      </c>
      <c r="J44" s="6">
        <v>0</v>
      </c>
      <c r="K44" s="6">
        <v>0</v>
      </c>
      <c r="L44" s="6">
        <f t="shared" si="0"/>
        <v>26105.07</v>
      </c>
      <c r="M44" s="7">
        <v>0.18</v>
      </c>
      <c r="N44" s="6">
        <f t="shared" si="1"/>
        <v>4698.9125999999997</v>
      </c>
      <c r="O44" s="7">
        <v>1.6500000000000001E-2</v>
      </c>
      <c r="P44" s="6">
        <f t="shared" si="2"/>
        <v>430.733655</v>
      </c>
      <c r="Q44" s="7">
        <v>7.5999999999999998E-2</v>
      </c>
      <c r="R44" s="6">
        <f t="shared" si="3"/>
        <v>1983.98532</v>
      </c>
      <c r="S44" s="6">
        <f t="shared" si="4"/>
        <v>26105.07</v>
      </c>
      <c r="T44" s="6">
        <f t="shared" si="5"/>
        <v>7113.6315749999994</v>
      </c>
    </row>
    <row r="45" spans="1:20" ht="19.95" hidden="1" customHeight="1" x14ac:dyDescent="0.3">
      <c r="A45" s="4">
        <v>3043</v>
      </c>
      <c r="B45" s="4" t="s">
        <v>21</v>
      </c>
      <c r="C45" s="4" t="s">
        <v>62</v>
      </c>
      <c r="D45" s="4" t="s">
        <v>45</v>
      </c>
      <c r="E45" s="5" t="s">
        <v>46</v>
      </c>
      <c r="F45" s="6">
        <v>2154.86</v>
      </c>
      <c r="G45" s="6">
        <v>0</v>
      </c>
      <c r="H45" s="6">
        <v>0</v>
      </c>
      <c r="I45" s="6">
        <v>50</v>
      </c>
      <c r="J45" s="6">
        <v>60</v>
      </c>
      <c r="K45" s="6">
        <v>0</v>
      </c>
      <c r="L45" s="6">
        <f t="shared" si="0"/>
        <v>2264.86</v>
      </c>
      <c r="M45" s="7">
        <v>0.18</v>
      </c>
      <c r="N45" s="6">
        <f t="shared" si="1"/>
        <v>407.6748</v>
      </c>
      <c r="O45" s="7">
        <v>1.6500000000000001E-2</v>
      </c>
      <c r="P45" s="6">
        <f t="shared" si="2"/>
        <v>37.370190000000001</v>
      </c>
      <c r="Q45" s="7">
        <v>7.5999999999999998E-2</v>
      </c>
      <c r="R45" s="6">
        <f t="shared" si="3"/>
        <v>172.12935999999999</v>
      </c>
      <c r="S45" s="6">
        <f t="shared" si="4"/>
        <v>2264.86</v>
      </c>
      <c r="T45" s="6">
        <f t="shared" si="5"/>
        <v>617.17435</v>
      </c>
    </row>
    <row r="46" spans="1:20" ht="19.95" hidden="1" customHeight="1" x14ac:dyDescent="0.3">
      <c r="A46" s="4">
        <v>3044</v>
      </c>
      <c r="B46" s="4" t="s">
        <v>21</v>
      </c>
      <c r="C46" s="4" t="s">
        <v>51</v>
      </c>
      <c r="D46" s="4" t="s">
        <v>29</v>
      </c>
      <c r="E46" s="5" t="s">
        <v>30</v>
      </c>
      <c r="F46" s="6">
        <v>18806.77</v>
      </c>
      <c r="G46" s="6">
        <v>150</v>
      </c>
      <c r="H46" s="6">
        <v>400</v>
      </c>
      <c r="I46" s="6">
        <v>50</v>
      </c>
      <c r="J46" s="6">
        <v>0</v>
      </c>
      <c r="K46" s="6">
        <v>40</v>
      </c>
      <c r="L46" s="6">
        <f t="shared" si="0"/>
        <v>19146.77</v>
      </c>
      <c r="M46" s="7">
        <v>0.18</v>
      </c>
      <c r="N46" s="6">
        <f t="shared" si="1"/>
        <v>3446.4186</v>
      </c>
      <c r="O46" s="7">
        <v>1.6500000000000001E-2</v>
      </c>
      <c r="P46" s="6">
        <f t="shared" si="2"/>
        <v>315.92170500000003</v>
      </c>
      <c r="Q46" s="7">
        <v>7.5999999999999998E-2</v>
      </c>
      <c r="R46" s="6">
        <f t="shared" si="3"/>
        <v>1455.15452</v>
      </c>
      <c r="S46" s="6">
        <f t="shared" si="4"/>
        <v>19146.77</v>
      </c>
      <c r="T46" s="6">
        <f t="shared" si="5"/>
        <v>5217.4948249999998</v>
      </c>
    </row>
    <row r="47" spans="1:20" ht="19.95" hidden="1" customHeight="1" x14ac:dyDescent="0.3">
      <c r="A47" s="4">
        <v>3045</v>
      </c>
      <c r="B47" s="4" t="s">
        <v>21</v>
      </c>
      <c r="C47" s="4" t="s">
        <v>51</v>
      </c>
      <c r="D47" s="4" t="s">
        <v>52</v>
      </c>
      <c r="E47" s="5" t="s">
        <v>53</v>
      </c>
      <c r="F47" s="6">
        <v>7645.63</v>
      </c>
      <c r="G47" s="6">
        <v>50</v>
      </c>
      <c r="H47" s="6">
        <v>120</v>
      </c>
      <c r="I47" s="6">
        <v>0</v>
      </c>
      <c r="J47" s="6">
        <v>0</v>
      </c>
      <c r="K47" s="6">
        <v>90</v>
      </c>
      <c r="L47" s="6">
        <f t="shared" si="0"/>
        <v>7805.63</v>
      </c>
      <c r="M47" s="7">
        <v>0.18</v>
      </c>
      <c r="N47" s="6">
        <f t="shared" si="1"/>
        <v>1405.0134</v>
      </c>
      <c r="O47" s="7">
        <v>1.6500000000000001E-2</v>
      </c>
      <c r="P47" s="6">
        <f t="shared" si="2"/>
        <v>128.79289500000002</v>
      </c>
      <c r="Q47" s="7">
        <v>7.5999999999999998E-2</v>
      </c>
      <c r="R47" s="6">
        <f t="shared" si="3"/>
        <v>593.22788000000003</v>
      </c>
      <c r="S47" s="6">
        <f t="shared" si="4"/>
        <v>7805.63</v>
      </c>
      <c r="T47" s="6">
        <f t="shared" si="5"/>
        <v>2127.0341750000002</v>
      </c>
    </row>
    <row r="48" spans="1:20" hidden="1" x14ac:dyDescent="0.3">
      <c r="A48" s="8" t="s">
        <v>63</v>
      </c>
      <c r="B48" s="9"/>
      <c r="C48" s="9"/>
      <c r="D48" s="9"/>
      <c r="E48" s="9"/>
      <c r="F48" s="10">
        <f t="shared" ref="F48:L48" si="6">SUM(F4:F47)</f>
        <v>715435.45000000007</v>
      </c>
      <c r="G48" s="10">
        <f t="shared" si="6"/>
        <v>2850</v>
      </c>
      <c r="H48" s="10">
        <f t="shared" si="6"/>
        <v>6330</v>
      </c>
      <c r="I48" s="10">
        <f t="shared" si="6"/>
        <v>680</v>
      </c>
      <c r="J48" s="10">
        <f t="shared" si="6"/>
        <v>970</v>
      </c>
      <c r="K48" s="10">
        <f t="shared" si="6"/>
        <v>1390</v>
      </c>
      <c r="L48" s="10">
        <f t="shared" si="6"/>
        <v>721955.45000000007</v>
      </c>
      <c r="M48" s="8" t="s">
        <v>64</v>
      </c>
      <c r="N48" s="10">
        <f>SUM(N4:N47)</f>
        <v>129951.98099999999</v>
      </c>
      <c r="O48" s="8" t="s">
        <v>64</v>
      </c>
      <c r="P48" s="10">
        <f>SUM(P4:P47)</f>
        <v>11912.264924999999</v>
      </c>
      <c r="Q48" s="8" t="s">
        <v>64</v>
      </c>
      <c r="R48" s="10">
        <f>SUM(R4:R47)</f>
        <v>54868.614200000004</v>
      </c>
      <c r="S48" s="10">
        <f>SUM(S4:S47)</f>
        <v>721955.45000000007</v>
      </c>
      <c r="T48" s="10">
        <f>SUM(T4:T47)</f>
        <v>196732.86012499995</v>
      </c>
    </row>
  </sheetData>
  <autoFilter ref="A3:T48" xr:uid="{00000000-0001-0000-0000-000000000000}">
    <filterColumn colId="0">
      <filters>
        <filter val="3003"/>
        <filter val="3012"/>
        <filter val="3025"/>
        <filter val="3038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Notas_Sistema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BUENO</cp:lastModifiedBy>
  <dcterms:created xsi:type="dcterms:W3CDTF">2026-10-18T01:51:33Z</dcterms:created>
  <dcterms:modified xsi:type="dcterms:W3CDTF">2026-10-25T23:28:45Z</dcterms:modified>
</cp:coreProperties>
</file>